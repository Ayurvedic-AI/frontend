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MR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<sst xmlns="http://schemas.openxmlformats.org/spreadsheetml/2006/main" count="138" uniqueCount="100">
  <si>
    <t xml:space="preserve">SHREE VISHWARANG AYUREVD PHARMACY 
Sec. No. 5/2/4/2/3/4, Ambegaon Bk
Pune – 46.
MFG / Lic /No. : PD/AYU-117
</t>
  </si>
  <si>
    <t xml:space="preserve">Product Name</t>
  </si>
  <si>
    <t xml:space="preserve">Ampachak Vati</t>
  </si>
  <si>
    <t xml:space="preserve">Product Type</t>
  </si>
  <si>
    <t xml:space="preserve">Proprietary</t>
  </si>
  <si>
    <t xml:space="preserve">Shelf Life</t>
  </si>
  <si>
    <t xml:space="preserve">Months</t>
  </si>
  <si>
    <t xml:space="preserve">Batch Size</t>
  </si>
  <si>
    <t xml:space="preserve">KG</t>
  </si>
  <si>
    <t xml:space="preserve">Revised Batch Size</t>
  </si>
  <si>
    <t xml:space="preserve">BMR No</t>
  </si>
  <si>
    <t xml:space="preserve">Batch No</t>
  </si>
  <si>
    <t xml:space="preserve">T-AP-26/27-01</t>
  </si>
  <si>
    <t xml:space="preserve">MFG . Date</t>
  </si>
  <si>
    <t xml:space="preserve">EXP. Date</t>
  </si>
  <si>
    <t xml:space="preserve">BMR Issued By / Date</t>
  </si>
  <si>
    <t xml:space="preserve">Prepared By</t>
  </si>
  <si>
    <t xml:space="preserve">Check By</t>
  </si>
  <si>
    <t xml:space="preserve">Approved By</t>
  </si>
  <si>
    <t xml:space="preserve">Sign / Date</t>
  </si>
  <si>
    <t xml:space="preserve">SHREE VISHWARANG AYUREVD PHARMACY 
Sec. No. 5/2/4/2/3/4, Ambegaon Bk
Pune – 46.
MFG / Lic /No. : PD/AYU-117</t>
  </si>
  <si>
    <t xml:space="preserve">Product Name : </t>
  </si>
  <si>
    <t xml:space="preserve">Batch No:</t>
  </si>
  <si>
    <t xml:space="preserve">Mfg Date:</t>
  </si>
  <si>
    <t xml:space="preserve">Exp Date:</t>
  </si>
  <si>
    <t xml:space="preserve">Batch Size:</t>
  </si>
  <si>
    <t xml:space="preserve">Commencement Date</t>
  </si>
  <si>
    <t xml:space="preserve">Raw Material Dispensing</t>
  </si>
  <si>
    <t xml:space="preserve">Note: Ensure that all current SOPs are followed at all stages of dispensing &amp; manufacturing</t>
  </si>
  <si>
    <t xml:space="preserve">Dispense Raw Materials As Per SOP And Enter The Details In The Table Given Below.</t>
  </si>
  <si>
    <t xml:space="preserve">Started On / At:</t>
  </si>
  <si>
    <t xml:space="preserve">Completed On / At:</t>
  </si>
  <si>
    <t xml:space="preserve">Dispensing Sheet ( BMR COPY)</t>
  </si>
  <si>
    <t xml:space="preserve">Sr
No</t>
  </si>
  <si>
    <t xml:space="preserve">Ingredients</t>
  </si>
  <si>
    <t xml:space="preserve">Weight</t>
  </si>
  <si>
    <t xml:space="preserve">Kg / Gm</t>
  </si>
  <si>
    <t xml:space="preserve">AR No</t>
  </si>
  <si>
    <t xml:space="preserve">Net 
Weight</t>
  </si>
  <si>
    <t xml:space="preserve">Haritaki Churna</t>
  </si>
  <si>
    <t xml:space="preserve">Kuchala Shuddh</t>
  </si>
  <si>
    <t xml:space="preserve">Hing Churna</t>
  </si>
  <si>
    <t xml:space="preserve">Gandhak Shuddh</t>
  </si>
  <si>
    <t xml:space="preserve">Mire / Marich Churna</t>
  </si>
  <si>
    <t xml:space="preserve">Pimpali Churna</t>
  </si>
  <si>
    <t xml:space="preserve">Sunth / Vishwa Churna</t>
  </si>
  <si>
    <t xml:space="preserve">Saidhav</t>
  </si>
  <si>
    <t xml:space="preserve">Bhavana</t>
  </si>
  <si>
    <t xml:space="preserve">Korafad Swaras</t>
  </si>
  <si>
    <t xml:space="preserve">Excipient</t>
  </si>
  <si>
    <t xml:space="preserve">Gum</t>
  </si>
  <si>
    <t xml:space="preserve">D.C.P</t>
  </si>
  <si>
    <t xml:space="preserve">Starch</t>
  </si>
  <si>
    <t xml:space="preserve">Sugar</t>
  </si>
  <si>
    <t xml:space="preserve">Total Weight</t>
  </si>
  <si>
    <t xml:space="preserve">Given By 
</t>
  </si>
  <si>
    <t xml:space="preserve">Received By</t>
  </si>
  <si>
    <t xml:space="preserve">Product Name: </t>
  </si>
  <si>
    <t xml:space="preserve">MFG Date:</t>
  </si>
  <si>
    <t xml:space="preserve">EXP Date:</t>
  </si>
  <si>
    <t xml:space="preserve">Manufacturing Process:</t>
  </si>
  <si>
    <t xml:space="preserve">Area:</t>
  </si>
  <si>
    <t xml:space="preserve">MFG By:
Date / Time :</t>
  </si>
  <si>
    <t xml:space="preserve">Checked By:
Date / Time:</t>
  </si>
  <si>
    <t xml:space="preserve">Date:</t>
  </si>
  <si>
    <t xml:space="preserve">Manufacturing Process</t>
  </si>
  <si>
    <t xml:space="preserve">Date</t>
  </si>
  <si>
    <t xml:space="preserve">Time</t>
  </si>
  <si>
    <t xml:space="preserve">Done By
(Sign)</t>
  </si>
  <si>
    <t xml:space="preserve">Checked By
(Sign &amp; Date )</t>
  </si>
  <si>
    <t xml:space="preserve">TO</t>
  </si>
  <si>
    <t xml:space="preserve">From</t>
  </si>
  <si>
    <t xml:space="preserve">वजनकाटा,चाळणी,स्टीलचे पातेले,डाव,इ. उपकरणे स्वच्छ करून घेतली.</t>
  </si>
  <si>
    <t xml:space="preserve">पाठप्रमाणे द्रव्ये वजन करून घेतली.</t>
  </si>
  <si>
    <t xml:space="preserve">तयार औषधात दिलेल्या प्रमाणात excipient घालून सर्व मिश्रण पुन्हा
एकजीव केले.</t>
  </si>
  <si>
    <t xml:space="preserve">स्टीलच्या स्वच्छ ट्रे ला अत्यल्प प्रमाणात गोघृत लावून वरील मिश्रण पसरले.</t>
  </si>
  <si>
    <t xml:space="preserve">ड्रायरला वरील ट्रे वाळायला लावले,ड्रायरचे तापमान 50 c ठेवले . 
एकूण वाळायला लागलेला वेळ ___</t>
  </si>
  <si>
    <t xml:space="preserve">वाळलेले मिश्रण ड्राय ग्राइंडर मधून बारीक केले.</t>
  </si>
  <si>
    <t xml:space="preserve">Dry compression method ने 250 mg. च्या गोळ्या केल्या.</t>
  </si>
  <si>
    <t xml:space="preserve">गोळ्यांचे एकूण वजन:- एकूण घट :-</t>
  </si>
  <si>
    <t xml:space="preserve">100 ग्र. गोळ्या sample साठी काढून ठेवल्या .</t>
  </si>
  <si>
    <t xml:space="preserve">तयार गोळ्या डब्यात भरून सील पॅक केल्या .</t>
  </si>
  <si>
    <t xml:space="preserve">पॅक केलेल्या गोळ्यांचे लेबलिंग केले. व finished goods सेक्शन ला ठेवले.</t>
  </si>
  <si>
    <t xml:space="preserve">Equipment Used</t>
  </si>
  <si>
    <t xml:space="preserve">Equipment No</t>
  </si>
  <si>
    <t xml:space="preserve">Grinder</t>
  </si>
  <si>
    <t xml:space="preserve">Pulverizer</t>
  </si>
  <si>
    <t xml:space="preserve">Oven</t>
  </si>
  <si>
    <t xml:space="preserve">Tablet Machine</t>
  </si>
  <si>
    <t xml:space="preserve">मात्रा</t>
  </si>
  <si>
    <t xml:space="preserve">अनुपान</t>
  </si>
  <si>
    <t xml:space="preserve">रोगघ्नता</t>
  </si>
  <si>
    <t xml:space="preserve">Batch No :</t>
  </si>
  <si>
    <t xml:space="preserve">Final Weight Of Batch</t>
  </si>
  <si>
    <t xml:space="preserve">Sampling:</t>
  </si>
  <si>
    <t xml:space="preserve">Sample Quantity:</t>
  </si>
  <si>
    <t xml:space="preserve">Sampling Done By:
QC Sign &amp; Date</t>
  </si>
  <si>
    <t xml:space="preserve">Transfering Goods To Bulk Store For Filling:</t>
  </si>
  <si>
    <t xml:space="preserve">Bulk Transferred By / Date:</t>
  </si>
  <si>
    <t xml:space="preserve">Bulk Recived By / Date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</si>
</sst>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21"/>
      <color theme="1"/>
      <name val="Times New Roman"/>
      <family val="1"/>
      <charset val="1"/>
    </font>
    <font>
      <sz val="21"/>
      <color theme="1"/>
      <name val="Times New Roman"/>
      <family val="1"/>
      <charset val="1"/>
    </font>
    <font>
      <sz val="20"/>
      <color theme="1"/>
      <name val="Times New Roman"/>
      <family val="1"/>
      <charset val="1"/>
    </font>
    <font>
      <b val="true"/>
      <sz val="23"/>
      <color theme="1"/>
      <name val="Times New Roman"/>
      <family val="1"/>
      <charset val="1"/>
    </font>
    <font>
      <b val="true"/>
      <sz val="17"/>
      <color theme="1"/>
      <name val="Times New Roman"/>
      <family val="1"/>
      <charset val="1"/>
    </font>
    <font>
      <sz val="16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true" showOutlineSymbols="true" defaultGridColor="true" view="normal" topLeftCell="A77" colorId="64" zoomScale="87" zoomScaleNormal="87" zoomScalePageLayoutView="100" workbookViewId="0">
      <selection pane="topLeft" activeCell="D97" activeCellId="0" sqref="D97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42.42"/>
    <col collapsed="false" customWidth="true" hidden="false" outlineLevel="0" max="3" min="3" style="1" width="11.43"/>
    <col collapsed="false" customWidth="true" hidden="false" outlineLevel="0" max="4" min="4" style="1" width="12.86"/>
    <col collapsed="false" customWidth="true" hidden="false" outlineLevel="0" max="7" min="5" style="1" width="11.85"/>
    <col collapsed="false" customWidth="true" hidden="false" outlineLevel="0" max="8" min="8" style="1" width="24.57"/>
    <col collapsed="false" customWidth="true" hidden="false" outlineLevel="0" max="9" min="9" style="1" width="41.57"/>
    <col collapsed="false" customWidth="false" hidden="false" outlineLevel="0" max="16384" min="10" style="1" width="9.14"/>
  </cols>
  <sheetData>
    <row r="1" customFormat="false" ht="101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4.45" hidden="false" customHeight="false" outlineLevel="0" collapsed="false">
      <c r="A2" s="3"/>
      <c r="B2" s="4" t="s">
        <v>1</v>
      </c>
      <c r="C2" s="5" t="s">
        <v>2</v>
      </c>
      <c r="D2" s="5"/>
      <c r="E2" s="5"/>
      <c r="F2" s="5"/>
      <c r="G2" s="5"/>
      <c r="H2" s="5"/>
      <c r="I2" s="5"/>
    </row>
    <row r="3" customFormat="false" ht="25.6" hidden="false" customHeight="false" outlineLevel="0" collapsed="false">
      <c r="A3" s="3"/>
      <c r="B3" s="4" t="s">
        <v>3</v>
      </c>
      <c r="C3" s="6" t="s">
        <v>4</v>
      </c>
      <c r="D3" s="6"/>
      <c r="E3" s="6"/>
      <c r="F3" s="6"/>
      <c r="G3" s="6"/>
      <c r="H3" s="6"/>
      <c r="I3" s="6"/>
    </row>
    <row r="4" customFormat="false" ht="25.6" hidden="false" customHeight="false" outlineLevel="0" collapsed="false">
      <c r="A4" s="3"/>
      <c r="B4" s="4" t="s">
        <v>5</v>
      </c>
      <c r="C4" s="7" t="n">
        <v>36</v>
      </c>
      <c r="D4" s="7"/>
      <c r="E4" s="8" t="s">
        <v>6</v>
      </c>
      <c r="F4" s="8"/>
      <c r="G4" s="8"/>
      <c r="H4" s="8"/>
      <c r="I4" s="8"/>
    </row>
    <row r="5" customFormat="false" ht="27.95" hidden="false" customHeight="false" outlineLevel="0" collapsed="false">
      <c r="A5" s="3"/>
      <c r="B5" s="4" t="s">
        <v>7</v>
      </c>
      <c r="C5" s="9" t="n">
        <v>20</v>
      </c>
      <c r="D5" s="9"/>
      <c r="E5" s="10" t="s">
        <v>8</v>
      </c>
      <c r="F5" s="11"/>
      <c r="G5" s="11"/>
      <c r="H5" s="11"/>
      <c r="I5" s="11"/>
    </row>
    <row r="6" customFormat="false" ht="20.9" hidden="false" customHeight="false" outlineLevel="0" collapsed="false">
      <c r="A6" s="3"/>
      <c r="B6" s="12" t="s">
        <v>9</v>
      </c>
      <c r="C6" s="13"/>
      <c r="D6" s="13"/>
      <c r="E6" s="13"/>
      <c r="F6" s="13"/>
      <c r="G6" s="13"/>
      <c r="H6" s="13"/>
      <c r="I6" s="13"/>
    </row>
    <row r="7" customFormat="false" ht="24.45" hidden="false" customHeight="false" outlineLevel="0" collapsed="false">
      <c r="A7" s="3"/>
      <c r="B7" s="4" t="s">
        <v>10</v>
      </c>
      <c r="C7" s="13"/>
      <c r="D7" s="13"/>
      <c r="E7" s="13"/>
      <c r="F7" s="13"/>
      <c r="G7" s="13"/>
      <c r="H7" s="13"/>
      <c r="I7" s="13"/>
    </row>
    <row r="8" customFormat="false" ht="24.45" hidden="false" customHeight="false" outlineLevel="0" collapsed="false">
      <c r="A8" s="3"/>
      <c r="B8" s="4" t="s">
        <v>11</v>
      </c>
      <c r="C8" s="5" t="s">
        <v>12</v>
      </c>
      <c r="D8" s="5"/>
      <c r="E8" s="5"/>
      <c r="F8" s="5"/>
      <c r="G8" s="5"/>
      <c r="H8" s="5"/>
      <c r="I8" s="5"/>
    </row>
    <row r="9" customFormat="false" ht="24.45" hidden="false" customHeight="false" outlineLevel="0" collapsed="false">
      <c r="A9" s="3"/>
      <c r="B9" s="4" t="s">
        <v>13</v>
      </c>
      <c r="C9" s="13"/>
      <c r="D9" s="13"/>
      <c r="E9" s="13"/>
      <c r="F9" s="13"/>
      <c r="G9" s="13"/>
      <c r="H9" s="13"/>
      <c r="I9" s="13"/>
    </row>
    <row r="10" customFormat="false" ht="24.45" hidden="false" customHeight="false" outlineLevel="0" collapsed="false">
      <c r="A10" s="3"/>
      <c r="B10" s="4" t="s">
        <v>14</v>
      </c>
      <c r="C10" s="13"/>
      <c r="D10" s="13"/>
      <c r="E10" s="13"/>
      <c r="F10" s="13"/>
      <c r="G10" s="13"/>
      <c r="H10" s="13"/>
      <c r="I10" s="13"/>
    </row>
    <row r="11" customFormat="false" ht="24.45" hidden="false" customHeight="false" outlineLevel="0" collapsed="false">
      <c r="A11" s="3"/>
      <c r="B11" s="14" t="s">
        <v>15</v>
      </c>
      <c r="C11" s="15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</row>
    <row r="16" customFormat="false" ht="15.7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customFormat="false" ht="52.5" hidden="false" customHeight="true" outlineLevel="0" collapsed="false">
      <c r="A17" s="3"/>
      <c r="B17" s="17" t="s">
        <v>16</v>
      </c>
      <c r="C17" s="17"/>
      <c r="D17" s="17" t="s">
        <v>17</v>
      </c>
      <c r="E17" s="17"/>
      <c r="F17" s="17"/>
      <c r="G17" s="17" t="s">
        <v>18</v>
      </c>
      <c r="H17" s="17"/>
      <c r="I17" s="17"/>
    </row>
    <row r="18" customFormat="false" ht="15" hidden="false" customHeight="false" outlineLevel="0" collapsed="false">
      <c r="A18" s="3"/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13"/>
      <c r="B19" s="5" t="s">
        <v>19</v>
      </c>
      <c r="C19" s="5"/>
      <c r="D19" s="5" t="s">
        <v>19</v>
      </c>
      <c r="E19" s="5"/>
      <c r="F19" s="5"/>
      <c r="G19" s="5" t="s">
        <v>19</v>
      </c>
      <c r="H19" s="5"/>
      <c r="I19" s="5"/>
    </row>
    <row r="20" customFormat="false" ht="15" hidden="false" customHeight="false" outlineLevel="0" collapsed="false">
      <c r="A20" s="13"/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13"/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13"/>
      <c r="B22" s="5"/>
      <c r="C22" s="5"/>
      <c r="D22" s="5"/>
      <c r="E22" s="5"/>
      <c r="F22" s="5"/>
      <c r="G22" s="5"/>
      <c r="H22" s="5"/>
      <c r="I22" s="5"/>
    </row>
    <row r="23" customFormat="false" ht="15.75" hidden="false" customHeight="false" outlineLevel="0" collapsed="false">
      <c r="A23" s="13"/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</row>
    <row r="34" customFormat="false" ht="81" hidden="false" customHeight="true" outlineLevel="0" collapsed="false">
      <c r="A34" s="20" t="s">
        <v>20</v>
      </c>
      <c r="B34" s="20"/>
      <c r="C34" s="20"/>
      <c r="D34" s="20"/>
      <c r="E34" s="20"/>
      <c r="F34" s="20"/>
      <c r="G34" s="20"/>
      <c r="H34" s="20"/>
      <c r="I34" s="20"/>
    </row>
    <row r="35" customFormat="false" ht="19.7" hidden="false" customHeight="false" outlineLevel="0" collapsed="false">
      <c r="A35" s="21"/>
      <c r="B35" s="22" t="s">
        <v>21</v>
      </c>
      <c r="C35" s="23" t="str">
        <f aca="false">C2</f>
        <v>Ampachak Vati</v>
      </c>
      <c r="D35" s="23"/>
      <c r="E35" s="23"/>
      <c r="F35" s="23"/>
      <c r="G35" s="23"/>
      <c r="H35" s="23"/>
      <c r="I35" s="23"/>
    </row>
    <row r="36" customFormat="false" ht="19.7" hidden="false" customHeight="false" outlineLevel="0" collapsed="false">
      <c r="A36" s="21"/>
      <c r="B36" s="24" t="s">
        <v>22</v>
      </c>
      <c r="C36" s="25" t="str">
        <f aca="false">C8</f>
        <v>T-AP-26/27-01</v>
      </c>
      <c r="D36" s="25"/>
      <c r="E36" s="25"/>
      <c r="F36" s="25"/>
      <c r="G36" s="25"/>
      <c r="H36" s="25"/>
      <c r="I36" s="25"/>
    </row>
    <row r="37" customFormat="false" ht="19.7" hidden="false" customHeight="false" outlineLevel="0" collapsed="false">
      <c r="A37" s="21"/>
      <c r="B37" s="26" t="s">
        <v>23</v>
      </c>
      <c r="C37" s="26"/>
      <c r="D37" s="26" t="s">
        <v>24</v>
      </c>
      <c r="E37" s="26"/>
      <c r="F37" s="26"/>
      <c r="G37" s="22" t="s">
        <v>25</v>
      </c>
      <c r="H37" s="27"/>
      <c r="I37" s="23" t="n">
        <f aca="false">C5</f>
        <v>20</v>
      </c>
    </row>
    <row r="38" customFormat="false" ht="19.7" hidden="false" customHeight="false" outlineLevel="0" collapsed="false">
      <c r="A38" s="21"/>
      <c r="B38" s="26" t="s">
        <v>26</v>
      </c>
      <c r="C38" s="26"/>
      <c r="D38" s="26"/>
      <c r="E38" s="26"/>
      <c r="F38" s="26"/>
      <c r="G38" s="26"/>
      <c r="H38" s="26"/>
      <c r="I38" s="26"/>
    </row>
    <row r="39" customFormat="false" ht="19.7" hidden="false" customHeight="false" outlineLevel="0" collapsed="false">
      <c r="A39" s="21"/>
      <c r="B39" s="25" t="s">
        <v>27</v>
      </c>
      <c r="C39" s="25"/>
      <c r="D39" s="25"/>
      <c r="E39" s="25"/>
      <c r="F39" s="25"/>
      <c r="G39" s="25"/>
      <c r="H39" s="25"/>
      <c r="I39" s="25"/>
    </row>
    <row r="40" customFormat="false" ht="40.5" hidden="false" customHeight="true" outlineLevel="0" collapsed="false">
      <c r="A40" s="21"/>
      <c r="B40" s="25" t="s">
        <v>28</v>
      </c>
      <c r="C40" s="25"/>
      <c r="D40" s="25"/>
      <c r="E40" s="25"/>
      <c r="F40" s="25"/>
      <c r="G40" s="25"/>
      <c r="H40" s="25"/>
      <c r="I40" s="25"/>
    </row>
    <row r="41" customFormat="false" ht="40.5" hidden="false" customHeight="true" outlineLevel="0" collapsed="false">
      <c r="A41" s="21"/>
      <c r="B41" s="25" t="s">
        <v>29</v>
      </c>
      <c r="C41" s="25"/>
      <c r="D41" s="25"/>
      <c r="E41" s="25"/>
      <c r="F41" s="25"/>
      <c r="G41" s="25"/>
      <c r="H41" s="25"/>
      <c r="I41" s="25"/>
    </row>
    <row r="42" customFormat="false" ht="19.7" hidden="false" customHeight="false" outlineLevel="0" collapsed="false">
      <c r="A42" s="21"/>
      <c r="B42" s="24" t="s">
        <v>30</v>
      </c>
      <c r="C42" s="28"/>
      <c r="D42" s="28"/>
      <c r="E42" s="28"/>
      <c r="F42" s="28"/>
      <c r="G42" s="28"/>
      <c r="H42" s="28"/>
      <c r="I42" s="28"/>
    </row>
    <row r="43" customFormat="false" ht="19.7" hidden="false" customHeight="false" outlineLevel="0" collapsed="false">
      <c r="A43" s="21"/>
      <c r="B43" s="24" t="s">
        <v>31</v>
      </c>
      <c r="C43" s="28"/>
      <c r="D43" s="28"/>
      <c r="E43" s="28"/>
      <c r="F43" s="28"/>
      <c r="G43" s="28"/>
      <c r="H43" s="28"/>
      <c r="I43" s="28"/>
    </row>
    <row r="44" customFormat="false" ht="19.7" hidden="false" customHeight="false" outlineLevel="0" collapsed="false">
      <c r="A44" s="21"/>
      <c r="B44" s="25" t="s">
        <v>32</v>
      </c>
      <c r="C44" s="25"/>
      <c r="D44" s="25"/>
      <c r="E44" s="25"/>
      <c r="F44" s="25"/>
      <c r="G44" s="25"/>
      <c r="H44" s="25"/>
      <c r="I44" s="25"/>
    </row>
    <row r="45" customFormat="false" ht="19.7" hidden="false" customHeight="true" outlineLevel="0" collapsed="false">
      <c r="A45" s="29" t="s">
        <v>33</v>
      </c>
      <c r="B45" s="30" t="s">
        <v>34</v>
      </c>
      <c r="C45" s="30" t="s">
        <v>35</v>
      </c>
      <c r="D45" s="30" t="s">
        <v>36</v>
      </c>
      <c r="E45" s="25" t="s">
        <v>37</v>
      </c>
      <c r="F45" s="25"/>
      <c r="G45" s="25"/>
      <c r="H45" s="25" t="s">
        <v>38</v>
      </c>
      <c r="I45" s="25"/>
    </row>
    <row r="46" customFormat="false" ht="19.7" hidden="false" customHeight="false" outlineLevel="0" collapsed="false">
      <c r="A46" s="31" t="n">
        <v>1</v>
      </c>
      <c r="B46" s="32" t="s">
        <v>39</v>
      </c>
      <c r="C46" s="33" t="n">
        <f aca="false">C5*0.09416195857</f>
        <v>1.8832391714</v>
      </c>
      <c r="D46" s="34" t="s">
        <v>36</v>
      </c>
      <c r="E46" s="28"/>
      <c r="F46" s="28"/>
      <c r="G46" s="28"/>
      <c r="H46" s="35" t="n">
        <f aca="false">C46</f>
        <v>1.8832391714</v>
      </c>
      <c r="I46" s="34" t="s">
        <v>36</v>
      </c>
    </row>
    <row r="47" customFormat="false" ht="19.7" hidden="false" customHeight="false" outlineLevel="0" collapsed="false">
      <c r="A47" s="31" t="n">
        <v>2</v>
      </c>
      <c r="B47" s="32" t="s">
        <v>40</v>
      </c>
      <c r="C47" s="33" t="n">
        <f aca="false">C5*0.09416195857</f>
        <v>1.8832391714</v>
      </c>
      <c r="D47" s="34" t="s">
        <v>36</v>
      </c>
      <c r="E47" s="28"/>
      <c r="F47" s="28"/>
      <c r="G47" s="28"/>
      <c r="H47" s="35" t="n">
        <f aca="false">C47</f>
        <v>1.8832391714</v>
      </c>
      <c r="I47" s="34" t="s">
        <v>36</v>
      </c>
    </row>
    <row r="48" customFormat="false" ht="19.7" hidden="false" customHeight="false" outlineLevel="0" collapsed="false">
      <c r="A48" s="31" t="n">
        <v>3</v>
      </c>
      <c r="B48" s="32" t="s">
        <v>41</v>
      </c>
      <c r="C48" s="33" t="n">
        <f aca="false">C5*0.09416195857</f>
        <v>1.8832391714</v>
      </c>
      <c r="D48" s="34" t="s">
        <v>36</v>
      </c>
      <c r="E48" s="28"/>
      <c r="F48" s="28"/>
      <c r="G48" s="28"/>
      <c r="H48" s="35" t="n">
        <f aca="false">C48</f>
        <v>1.8832391714</v>
      </c>
      <c r="I48" s="34" t="s">
        <v>36</v>
      </c>
    </row>
    <row r="49" customFormat="false" ht="19.7" hidden="false" customHeight="false" outlineLevel="0" collapsed="false">
      <c r="A49" s="31" t="n">
        <v>4</v>
      </c>
      <c r="B49" s="32" t="s">
        <v>42</v>
      </c>
      <c r="C49" s="33" t="n">
        <f aca="false">C5*0.09416195857</f>
        <v>1.8832391714</v>
      </c>
      <c r="D49" s="34" t="s">
        <v>36</v>
      </c>
      <c r="E49" s="28"/>
      <c r="F49" s="28"/>
      <c r="G49" s="28"/>
      <c r="H49" s="35" t="n">
        <f aca="false">C49</f>
        <v>1.8832391714</v>
      </c>
      <c r="I49" s="34" t="s">
        <v>36</v>
      </c>
    </row>
    <row r="50" customFormat="false" ht="19.7" hidden="false" customHeight="false" outlineLevel="0" collapsed="false">
      <c r="A50" s="31" t="n">
        <v>5</v>
      </c>
      <c r="B50" s="32" t="s">
        <v>43</v>
      </c>
      <c r="C50" s="33" t="n">
        <f aca="false">C5*0.09416195857</f>
        <v>1.8832391714</v>
      </c>
      <c r="D50" s="34" t="s">
        <v>36</v>
      </c>
      <c r="E50" s="28"/>
      <c r="F50" s="28"/>
      <c r="G50" s="28"/>
      <c r="H50" s="35" t="n">
        <f aca="false">C50</f>
        <v>1.8832391714</v>
      </c>
      <c r="I50" s="34" t="s">
        <v>36</v>
      </c>
    </row>
    <row r="51" customFormat="false" ht="19.7" hidden="false" customHeight="false" outlineLevel="0" collapsed="false">
      <c r="A51" s="31" t="n">
        <v>6</v>
      </c>
      <c r="B51" s="32" t="s">
        <v>44</v>
      </c>
      <c r="C51" s="33" t="n">
        <f aca="false">C5*0.09416195857</f>
        <v>1.8832391714</v>
      </c>
      <c r="D51" s="34" t="s">
        <v>36</v>
      </c>
      <c r="E51" s="28"/>
      <c r="F51" s="28"/>
      <c r="G51" s="28"/>
      <c r="H51" s="35" t="n">
        <f aca="false">C51</f>
        <v>1.8832391714</v>
      </c>
      <c r="I51" s="34" t="s">
        <v>36</v>
      </c>
    </row>
    <row r="52" customFormat="false" ht="19.7" hidden="false" customHeight="false" outlineLevel="0" collapsed="false">
      <c r="A52" s="31" t="n">
        <v>7</v>
      </c>
      <c r="B52" s="32" t="s">
        <v>45</v>
      </c>
      <c r="C52" s="33" t="n">
        <f aca="false">C5*0.09416195857</f>
        <v>1.8832391714</v>
      </c>
      <c r="D52" s="34" t="s">
        <v>36</v>
      </c>
      <c r="E52" s="28"/>
      <c r="F52" s="28"/>
      <c r="G52" s="28"/>
      <c r="H52" s="35" t="n">
        <f aca="false">C52</f>
        <v>1.8832391714</v>
      </c>
      <c r="I52" s="34" t="s">
        <v>36</v>
      </c>
    </row>
    <row r="53" customFormat="false" ht="19.7" hidden="false" customHeight="false" outlineLevel="0" collapsed="false">
      <c r="A53" s="31" t="n">
        <v>8</v>
      </c>
      <c r="B53" s="32" t="s">
        <v>46</v>
      </c>
      <c r="C53" s="33" t="n">
        <f aca="false">C5*0.1883239171</f>
        <v>3.766478342</v>
      </c>
      <c r="D53" s="34" t="s">
        <v>36</v>
      </c>
      <c r="E53" s="28"/>
      <c r="F53" s="28"/>
      <c r="G53" s="28"/>
      <c r="H53" s="35" t="n">
        <f aca="false">C53</f>
        <v>3.766478342</v>
      </c>
      <c r="I53" s="34" t="s">
        <v>36</v>
      </c>
    </row>
    <row r="54" customFormat="false" ht="15" hidden="false" customHeight="false" outlineLevel="0" collapsed="false">
      <c r="A54" s="21"/>
      <c r="B54" s="36"/>
      <c r="C54" s="36"/>
      <c r="D54" s="36"/>
      <c r="E54" s="28"/>
      <c r="F54" s="28"/>
      <c r="G54" s="28"/>
      <c r="H54" s="36"/>
      <c r="I54" s="36"/>
    </row>
    <row r="55" customFormat="false" ht="19.7" hidden="false" customHeight="false" outlineLevel="0" collapsed="false">
      <c r="A55" s="21"/>
      <c r="B55" s="24" t="s">
        <v>47</v>
      </c>
      <c r="C55" s="36"/>
      <c r="D55" s="36"/>
      <c r="E55" s="28"/>
      <c r="F55" s="28"/>
      <c r="G55" s="28"/>
      <c r="H55" s="36"/>
      <c r="I55" s="36"/>
    </row>
    <row r="56" customFormat="false" ht="19.7" hidden="false" customHeight="false" outlineLevel="0" collapsed="false">
      <c r="A56" s="21"/>
      <c r="B56" s="37" t="s">
        <v>48</v>
      </c>
      <c r="C56" s="36"/>
      <c r="D56" s="36"/>
      <c r="E56" s="28"/>
      <c r="F56" s="28"/>
      <c r="G56" s="28"/>
      <c r="H56" s="36"/>
      <c r="I56" s="36"/>
    </row>
    <row r="57" customFormat="false" ht="15" hidden="false" customHeight="false" outlineLevel="0" collapsed="false">
      <c r="A57" s="21"/>
      <c r="B57" s="36"/>
      <c r="C57" s="36"/>
      <c r="D57" s="36"/>
      <c r="E57" s="28"/>
      <c r="F57" s="28"/>
      <c r="G57" s="28"/>
      <c r="H57" s="36"/>
      <c r="I57" s="36"/>
    </row>
    <row r="58" customFormat="false" ht="19.7" hidden="false" customHeight="false" outlineLevel="0" collapsed="false">
      <c r="A58" s="21"/>
      <c r="B58" s="24" t="s">
        <v>49</v>
      </c>
      <c r="C58" s="36"/>
      <c r="D58" s="36"/>
      <c r="E58" s="28"/>
      <c r="F58" s="28"/>
      <c r="G58" s="28"/>
      <c r="H58" s="36"/>
      <c r="I58" s="36"/>
    </row>
    <row r="59" customFormat="false" ht="19.7" hidden="false" customHeight="false" outlineLevel="0" collapsed="false">
      <c r="A59" s="31" t="n">
        <v>1</v>
      </c>
      <c r="B59" s="37" t="s">
        <v>50</v>
      </c>
      <c r="C59" s="33" t="n">
        <f aca="false">C5*0.06779661017</f>
        <v>1.3559322034</v>
      </c>
      <c r="D59" s="34" t="s">
        <v>36</v>
      </c>
      <c r="E59" s="28"/>
      <c r="F59" s="28"/>
      <c r="G59" s="28"/>
      <c r="H59" s="35" t="n">
        <f aca="false">C59</f>
        <v>1.3559322034</v>
      </c>
      <c r="I59" s="34" t="s">
        <v>36</v>
      </c>
    </row>
    <row r="60" customFormat="false" ht="19.7" hidden="false" customHeight="false" outlineLevel="0" collapsed="false">
      <c r="A60" s="31" t="n">
        <v>2</v>
      </c>
      <c r="B60" s="37" t="s">
        <v>51</v>
      </c>
      <c r="C60" s="33" t="n">
        <v>0</v>
      </c>
      <c r="D60" s="34" t="s">
        <v>36</v>
      </c>
      <c r="E60" s="28"/>
      <c r="F60" s="28"/>
      <c r="G60" s="28"/>
      <c r="H60" s="35" t="n">
        <f aca="false">C60</f>
        <v>0</v>
      </c>
      <c r="I60" s="34" t="s">
        <v>36</v>
      </c>
    </row>
    <row r="61" customFormat="false" ht="19.7" hidden="false" customHeight="false" outlineLevel="0" collapsed="false">
      <c r="A61" s="31" t="n">
        <v>3</v>
      </c>
      <c r="B61" s="37" t="s">
        <v>52</v>
      </c>
      <c r="C61" s="33" t="n">
        <f aca="false">C5*0.0423728814</f>
        <v>0.847457628</v>
      </c>
      <c r="D61" s="34" t="s">
        <v>36</v>
      </c>
      <c r="E61" s="28"/>
      <c r="F61" s="28"/>
      <c r="G61" s="28"/>
      <c r="H61" s="35" t="n">
        <f aca="false">C61</f>
        <v>0.847457628</v>
      </c>
      <c r="I61" s="34" t="s">
        <v>36</v>
      </c>
    </row>
    <row r="62" customFormat="false" ht="19.7" hidden="false" customHeight="false" outlineLevel="0" collapsed="false">
      <c r="A62" s="31" t="n">
        <v>4</v>
      </c>
      <c r="B62" s="37" t="s">
        <v>53</v>
      </c>
      <c r="C62" s="33" t="n">
        <f aca="false">C5*0.0423728814</f>
        <v>0.847457628</v>
      </c>
      <c r="D62" s="34" t="s">
        <v>36</v>
      </c>
      <c r="E62" s="28"/>
      <c r="F62" s="28"/>
      <c r="G62" s="28"/>
      <c r="H62" s="35" t="n">
        <f aca="false">C62</f>
        <v>0.847457628</v>
      </c>
      <c r="I62" s="34" t="s">
        <v>36</v>
      </c>
    </row>
    <row r="63" customFormat="false" ht="19.7" hidden="false" customHeight="false" outlineLevel="0" collapsed="false">
      <c r="A63" s="21"/>
      <c r="B63" s="36"/>
      <c r="C63" s="36"/>
      <c r="D63" s="36"/>
      <c r="E63" s="38" t="s">
        <v>54</v>
      </c>
      <c r="F63" s="38"/>
      <c r="G63" s="38"/>
      <c r="H63" s="35" t="n">
        <f aca="false">SUM(H46:H62)</f>
        <v>20.0000000012</v>
      </c>
      <c r="I63" s="34" t="s">
        <v>36</v>
      </c>
    </row>
    <row r="64" customFormat="false" ht="19.7" hidden="false" customHeight="true" outlineLevel="0" collapsed="false">
      <c r="A64" s="21"/>
      <c r="B64" s="39" t="s">
        <v>55</v>
      </c>
      <c r="C64" s="39"/>
      <c r="D64" s="39"/>
      <c r="E64" s="39"/>
      <c r="F64" s="39" t="s">
        <v>56</v>
      </c>
      <c r="G64" s="39"/>
      <c r="H64" s="39"/>
      <c r="I64" s="39"/>
    </row>
    <row r="65" customFormat="false" ht="15" hidden="false" customHeight="false" outlineLevel="0" collapsed="false">
      <c r="A65" s="40"/>
      <c r="B65" s="40"/>
      <c r="C65" s="40"/>
      <c r="D65" s="40"/>
      <c r="E65" s="40"/>
      <c r="F65" s="40"/>
      <c r="G65" s="40"/>
      <c r="H65" s="40"/>
      <c r="I65" s="40"/>
    </row>
    <row r="66" customFormat="false" ht="15" hidden="false" customHeight="false" outlineLevel="0" collapsed="false">
      <c r="A66" s="40"/>
      <c r="B66" s="40"/>
      <c r="C66" s="40"/>
      <c r="D66" s="40"/>
      <c r="E66" s="40"/>
      <c r="F66" s="40"/>
      <c r="G66" s="40"/>
      <c r="H66" s="40"/>
      <c r="I66" s="40"/>
    </row>
    <row r="67" customFormat="false" ht="15" hidden="false" customHeight="false" outlineLevel="0" collapsed="false">
      <c r="A67" s="40"/>
      <c r="B67" s="40"/>
      <c r="C67" s="40"/>
      <c r="D67" s="40"/>
      <c r="E67" s="40"/>
      <c r="F67" s="40"/>
      <c r="G67" s="40"/>
      <c r="H67" s="40"/>
      <c r="I67" s="40"/>
    </row>
    <row r="68" customFormat="false" ht="15" hidden="false" customHeight="false" outlineLevel="0" collapsed="false">
      <c r="A68" s="40"/>
      <c r="B68" s="40"/>
      <c r="C68" s="40"/>
      <c r="D68" s="40"/>
      <c r="E68" s="40"/>
      <c r="F68" s="40"/>
      <c r="G68" s="40"/>
      <c r="H68" s="40"/>
      <c r="I68" s="40"/>
    </row>
    <row r="69" customFormat="false" ht="15" hidden="false" customHeight="false" outlineLevel="0" collapsed="false">
      <c r="A69" s="40"/>
      <c r="B69" s="40"/>
      <c r="C69" s="40"/>
      <c r="D69" s="40"/>
      <c r="E69" s="40"/>
      <c r="F69" s="40"/>
      <c r="G69" s="40"/>
      <c r="H69" s="40"/>
      <c r="I69" s="40"/>
    </row>
    <row r="70" customFormat="false" ht="15.75" hidden="false" customHeight="false" outlineLevel="0" collapsed="false">
      <c r="A70" s="40"/>
      <c r="B70" s="40"/>
      <c r="C70" s="40"/>
      <c r="D70" s="40"/>
      <c r="E70" s="40"/>
      <c r="F70" s="40"/>
      <c r="G70" s="40"/>
      <c r="H70" s="40"/>
      <c r="I70" s="40"/>
    </row>
    <row r="71" customFormat="false" ht="81" hidden="false" customHeight="true" outlineLevel="0" collapsed="false">
      <c r="A71" s="41" t="s">
        <v>20</v>
      </c>
      <c r="B71" s="41"/>
      <c r="C71" s="41"/>
      <c r="D71" s="41"/>
      <c r="E71" s="41"/>
      <c r="F71" s="41"/>
      <c r="G71" s="41"/>
      <c r="H71" s="41"/>
      <c r="I71" s="41"/>
    </row>
    <row r="72" customFormat="false" ht="19.7" hidden="false" customHeight="false" outlineLevel="0" collapsed="false">
      <c r="A72" s="21"/>
      <c r="B72" s="22" t="s">
        <v>57</v>
      </c>
      <c r="C72" s="23" t="str">
        <f aca="false">C2</f>
        <v>Ampachak Vati</v>
      </c>
      <c r="D72" s="23"/>
      <c r="E72" s="23"/>
      <c r="F72" s="23"/>
      <c r="G72" s="23"/>
      <c r="H72" s="23"/>
      <c r="I72" s="23"/>
    </row>
    <row r="73" customFormat="false" ht="19.7" hidden="false" customHeight="false" outlineLevel="0" collapsed="false">
      <c r="A73" s="21"/>
      <c r="B73" s="22" t="s">
        <v>22</v>
      </c>
      <c r="C73" s="23" t="str">
        <f aca="false">C8</f>
        <v>T-AP-26/27-01</v>
      </c>
      <c r="D73" s="23"/>
      <c r="E73" s="23"/>
      <c r="F73" s="22" t="s">
        <v>25</v>
      </c>
      <c r="G73" s="27"/>
      <c r="H73" s="23" t="n">
        <f aca="false">C5</f>
        <v>20</v>
      </c>
      <c r="I73" s="23"/>
    </row>
    <row r="74" customFormat="false" ht="19.7" hidden="false" customHeight="false" outlineLevel="0" collapsed="false">
      <c r="A74" s="21"/>
      <c r="B74" s="26" t="s">
        <v>58</v>
      </c>
      <c r="C74" s="26"/>
      <c r="D74" s="26"/>
      <c r="E74" s="26"/>
      <c r="F74" s="26" t="s">
        <v>59</v>
      </c>
      <c r="G74" s="26"/>
      <c r="H74" s="26"/>
      <c r="I74" s="26"/>
    </row>
    <row r="75" customFormat="false" ht="19.7" hidden="false" customHeight="false" outlineLevel="0" collapsed="false">
      <c r="A75" s="21"/>
      <c r="B75" s="26" t="s">
        <v>60</v>
      </c>
      <c r="C75" s="26"/>
      <c r="D75" s="26"/>
      <c r="E75" s="26"/>
      <c r="F75" s="26"/>
      <c r="G75" s="26"/>
      <c r="H75" s="26"/>
      <c r="I75" s="26"/>
    </row>
    <row r="76" customFormat="false" ht="81" hidden="false" customHeight="true" outlineLevel="0" collapsed="false">
      <c r="A76" s="21"/>
      <c r="B76" s="39" t="s">
        <v>61</v>
      </c>
      <c r="C76" s="39"/>
      <c r="D76" s="39" t="s">
        <v>62</v>
      </c>
      <c r="E76" s="39"/>
      <c r="F76" s="39"/>
      <c r="G76" s="39" t="s">
        <v>63</v>
      </c>
      <c r="H76" s="39"/>
      <c r="I76" s="39"/>
    </row>
    <row r="77" customFormat="false" ht="19.7" hidden="false" customHeight="false" outlineLevel="0" collapsed="false">
      <c r="A77" s="21"/>
      <c r="B77" s="26" t="s">
        <v>30</v>
      </c>
      <c r="C77" s="26"/>
      <c r="D77" s="26"/>
      <c r="E77" s="26" t="s">
        <v>31</v>
      </c>
      <c r="F77" s="26"/>
      <c r="G77" s="26"/>
      <c r="H77" s="26"/>
      <c r="I77" s="26"/>
    </row>
    <row r="78" customFormat="false" ht="19.7" hidden="false" customHeight="false" outlineLevel="0" collapsed="false">
      <c r="A78" s="21"/>
      <c r="B78" s="24" t="s">
        <v>64</v>
      </c>
      <c r="C78" s="28"/>
      <c r="D78" s="28"/>
      <c r="E78" s="28"/>
      <c r="F78" s="28"/>
      <c r="G78" s="28"/>
      <c r="H78" s="28"/>
      <c r="I78" s="28"/>
    </row>
    <row r="79" s="44" customFormat="true" ht="19.7" hidden="false" customHeight="true" outlineLevel="0" collapsed="false">
      <c r="A79" s="42" t="s">
        <v>33</v>
      </c>
      <c r="B79" s="42" t="s">
        <v>65</v>
      </c>
      <c r="C79" s="42"/>
      <c r="D79" s="42"/>
      <c r="E79" s="43" t="s">
        <v>66</v>
      </c>
      <c r="F79" s="42" t="s">
        <v>67</v>
      </c>
      <c r="G79" s="42"/>
      <c r="H79" s="42" t="s">
        <v>68</v>
      </c>
      <c r="I79" s="42" t="s">
        <v>69</v>
      </c>
    </row>
    <row r="80" customFormat="false" ht="19.7" hidden="false" customHeight="false" outlineLevel="0" collapsed="false">
      <c r="A80" s="42"/>
      <c r="B80" s="42"/>
      <c r="C80" s="42"/>
      <c r="D80" s="42"/>
      <c r="E80" s="15"/>
      <c r="F80" s="45" t="s">
        <v>70</v>
      </c>
      <c r="G80" s="45" t="s">
        <v>71</v>
      </c>
      <c r="H80" s="42"/>
      <c r="I80" s="42"/>
    </row>
    <row r="81" customFormat="false" ht="19.7" hidden="false" customHeight="false" outlineLevel="0" collapsed="false">
      <c r="A81" s="31" t="n">
        <v>1</v>
      </c>
      <c r="B81" s="46" t="s">
        <v>72</v>
      </c>
      <c r="C81" s="47"/>
      <c r="D81" s="15"/>
      <c r="E81" s="48"/>
      <c r="F81" s="48"/>
      <c r="G81" s="48"/>
      <c r="H81" s="48"/>
      <c r="I81" s="18"/>
    </row>
    <row r="82" customFormat="false" ht="19.7" hidden="false" customHeight="false" outlineLevel="0" collapsed="false">
      <c r="A82" s="31" t="n">
        <v>2</v>
      </c>
      <c r="B82" s="49" t="s">
        <v>73</v>
      </c>
      <c r="C82" s="49"/>
      <c r="D82" s="49"/>
      <c r="E82" s="48"/>
      <c r="F82" s="48"/>
      <c r="G82" s="48"/>
      <c r="H82" s="48"/>
      <c r="I82" s="18"/>
    </row>
    <row r="83" customFormat="false" ht="19.7" hidden="false" customHeight="false" outlineLevel="0" collapsed="false">
      <c r="A83" s="31" t="n">
        <v>3</v>
      </c>
      <c r="B83" s="28"/>
      <c r="C83" s="28"/>
      <c r="D83" s="28"/>
      <c r="E83" s="48"/>
      <c r="F83" s="48"/>
      <c r="G83" s="48"/>
      <c r="H83" s="48"/>
      <c r="I83" s="18"/>
    </row>
    <row r="84" customFormat="false" ht="19.7" hidden="false" customHeight="false" outlineLevel="0" collapsed="false">
      <c r="A84" s="31" t="n">
        <v>4</v>
      </c>
      <c r="B84" s="28"/>
      <c r="C84" s="28"/>
      <c r="D84" s="28"/>
      <c r="E84" s="48"/>
      <c r="F84" s="48"/>
      <c r="G84" s="48"/>
      <c r="H84" s="48"/>
      <c r="I84" s="18"/>
    </row>
    <row r="85" customFormat="false" ht="19.7" hidden="false" customHeight="false" outlineLevel="0" collapsed="false">
      <c r="A85" s="31" t="n">
        <v>5</v>
      </c>
      <c r="B85" s="28"/>
      <c r="C85" s="28"/>
      <c r="D85" s="28"/>
      <c r="E85" s="48"/>
      <c r="F85" s="48"/>
      <c r="G85" s="48"/>
      <c r="H85" s="48"/>
      <c r="I85" s="18"/>
    </row>
    <row r="86" customFormat="false" ht="19.7" hidden="false" customHeight="false" outlineLevel="0" collapsed="false">
      <c r="A86" s="31" t="n">
        <v>6</v>
      </c>
      <c r="B86" s="28"/>
      <c r="C86" s="28"/>
      <c r="D86" s="28"/>
      <c r="E86" s="48"/>
      <c r="F86" s="48"/>
      <c r="G86" s="48"/>
      <c r="H86" s="48"/>
      <c r="I86" s="18"/>
    </row>
    <row r="87" customFormat="false" ht="19.7" hidden="false" customHeight="true" outlineLevel="0" collapsed="false">
      <c r="A87" s="31" t="n">
        <v>7</v>
      </c>
      <c r="B87" s="49" t="s">
        <v>74</v>
      </c>
      <c r="C87" s="49"/>
      <c r="D87" s="49"/>
      <c r="E87" s="48"/>
      <c r="F87" s="48"/>
      <c r="G87" s="48"/>
      <c r="H87" s="48"/>
      <c r="I87" s="18"/>
    </row>
    <row r="88" customFormat="false" ht="19.7" hidden="false" customHeight="false" outlineLevel="0" collapsed="false">
      <c r="A88" s="31" t="n">
        <v>8</v>
      </c>
      <c r="B88" s="49" t="s">
        <v>75</v>
      </c>
      <c r="C88" s="49"/>
      <c r="D88" s="49"/>
      <c r="E88" s="48"/>
      <c r="F88" s="48"/>
      <c r="G88" s="48"/>
      <c r="H88" s="48"/>
      <c r="I88" s="18"/>
    </row>
    <row r="89" customFormat="false" ht="19.7" hidden="false" customHeight="true" outlineLevel="0" collapsed="false">
      <c r="A89" s="31" t="n">
        <v>9</v>
      </c>
      <c r="B89" s="49" t="s">
        <v>76</v>
      </c>
      <c r="C89" s="49"/>
      <c r="D89" s="49"/>
      <c r="E89" s="48"/>
      <c r="F89" s="48"/>
      <c r="G89" s="48"/>
      <c r="H89" s="48"/>
      <c r="I89" s="18"/>
    </row>
    <row r="90" customFormat="false" ht="19.7" hidden="false" customHeight="false" outlineLevel="0" collapsed="false">
      <c r="A90" s="31" t="n">
        <v>10</v>
      </c>
      <c r="B90" s="49" t="s">
        <v>77</v>
      </c>
      <c r="C90" s="49"/>
      <c r="D90" s="49"/>
      <c r="E90" s="48"/>
      <c r="F90" s="48"/>
      <c r="G90" s="48"/>
      <c r="H90" s="48"/>
      <c r="I90" s="18"/>
    </row>
    <row r="91" customFormat="false" ht="19.7" hidden="false" customHeight="false" outlineLevel="0" collapsed="false">
      <c r="A91" s="31" t="n">
        <v>11</v>
      </c>
      <c r="B91" s="49" t="s">
        <v>78</v>
      </c>
      <c r="C91" s="49"/>
      <c r="D91" s="49"/>
      <c r="E91" s="48"/>
      <c r="F91" s="48"/>
      <c r="G91" s="48"/>
      <c r="H91" s="48"/>
      <c r="I91" s="18"/>
    </row>
    <row r="92" customFormat="false" ht="19.7" hidden="false" customHeight="false" outlineLevel="0" collapsed="false">
      <c r="A92" s="31" t="n">
        <v>12</v>
      </c>
      <c r="B92" s="49" t="s">
        <v>79</v>
      </c>
      <c r="C92" s="49"/>
      <c r="D92" s="49"/>
      <c r="E92" s="48"/>
      <c r="F92" s="48"/>
      <c r="G92" s="48"/>
      <c r="H92" s="48"/>
      <c r="I92" s="18"/>
    </row>
    <row r="93" customFormat="false" ht="19.7" hidden="false" customHeight="false" outlineLevel="0" collapsed="false">
      <c r="A93" s="31" t="n">
        <v>13</v>
      </c>
      <c r="B93" s="49" t="s">
        <v>80</v>
      </c>
      <c r="C93" s="49"/>
      <c r="D93" s="49"/>
      <c r="E93" s="48"/>
      <c r="F93" s="48"/>
      <c r="G93" s="48"/>
      <c r="H93" s="48"/>
      <c r="I93" s="18"/>
    </row>
    <row r="94" customFormat="false" ht="19.7" hidden="false" customHeight="false" outlineLevel="0" collapsed="false">
      <c r="A94" s="31" t="n">
        <v>14</v>
      </c>
      <c r="B94" s="49" t="s">
        <v>81</v>
      </c>
      <c r="C94" s="49"/>
      <c r="D94" s="49"/>
      <c r="E94" s="48"/>
      <c r="F94" s="48"/>
      <c r="G94" s="48"/>
      <c r="H94" s="48"/>
      <c r="I94" s="18"/>
    </row>
    <row r="95" customFormat="false" ht="19.7" hidden="false" customHeight="false" outlineLevel="0" collapsed="false">
      <c r="A95" s="31" t="n">
        <v>15</v>
      </c>
      <c r="B95" s="49" t="s">
        <v>82</v>
      </c>
      <c r="C95" s="49"/>
      <c r="D95" s="49"/>
      <c r="E95" s="48"/>
      <c r="F95" s="48"/>
      <c r="G95" s="48"/>
      <c r="H95" s="48"/>
      <c r="I95" s="18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</row>
    <row r="97" customFormat="false" ht="40.5" hidden="false" customHeight="true" outlineLevel="0" collapsed="false">
      <c r="A97" s="3"/>
      <c r="B97" s="42" t="s">
        <v>83</v>
      </c>
      <c r="C97" s="42"/>
      <c r="D97" s="42" t="s">
        <v>84</v>
      </c>
      <c r="E97" s="42"/>
      <c r="F97" s="42"/>
      <c r="G97" s="42"/>
      <c r="H97" s="42"/>
      <c r="I97" s="42"/>
    </row>
    <row r="98" customFormat="false" ht="19.7" hidden="false" customHeight="false" outlineLevel="0" collapsed="false">
      <c r="A98" s="50" t="n">
        <v>1</v>
      </c>
      <c r="B98" s="51" t="s">
        <v>85</v>
      </c>
      <c r="C98" s="51"/>
      <c r="D98" s="18"/>
      <c r="E98" s="18"/>
      <c r="F98" s="18"/>
      <c r="G98" s="18"/>
      <c r="H98" s="18"/>
      <c r="I98" s="18"/>
    </row>
    <row r="99" customFormat="false" ht="19.7" hidden="false" customHeight="false" outlineLevel="0" collapsed="false">
      <c r="A99" s="50" t="n">
        <v>2</v>
      </c>
      <c r="B99" s="51" t="s">
        <v>86</v>
      </c>
      <c r="C99" s="51"/>
      <c r="D99" s="18"/>
      <c r="E99" s="18"/>
      <c r="F99" s="18"/>
      <c r="G99" s="18"/>
      <c r="H99" s="18"/>
      <c r="I99" s="18"/>
    </row>
    <row r="100" customFormat="false" ht="19.7" hidden="false" customHeight="false" outlineLevel="0" collapsed="false">
      <c r="A100" s="50" t="n">
        <v>3</v>
      </c>
      <c r="B100" s="51" t="s">
        <v>87</v>
      </c>
      <c r="C100" s="51"/>
      <c r="D100" s="18"/>
      <c r="E100" s="18"/>
      <c r="F100" s="18"/>
      <c r="G100" s="18"/>
      <c r="H100" s="18"/>
      <c r="I100" s="18"/>
    </row>
    <row r="101" customFormat="false" ht="40.5" hidden="false" customHeight="true" outlineLevel="0" collapsed="false">
      <c r="A101" s="50" t="n">
        <v>4</v>
      </c>
      <c r="B101" s="51" t="s">
        <v>88</v>
      </c>
      <c r="C101" s="51"/>
      <c r="D101" s="18"/>
      <c r="E101" s="18"/>
      <c r="F101" s="18"/>
      <c r="G101" s="18"/>
      <c r="H101" s="18"/>
      <c r="I101" s="18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</row>
    <row r="103" customFormat="false" ht="19.7" hidden="false" customHeight="false" outlineLevel="0" collapsed="false">
      <c r="A103" s="50" t="n">
        <v>1</v>
      </c>
      <c r="B103" s="52" t="s">
        <v>89</v>
      </c>
      <c r="C103" s="13"/>
      <c r="D103" s="13"/>
      <c r="E103" s="13"/>
      <c r="F103" s="13"/>
      <c r="G103" s="13"/>
      <c r="H103" s="13"/>
      <c r="I103" s="13"/>
    </row>
    <row r="104" customFormat="false" ht="19.7" hidden="false" customHeight="false" outlineLevel="0" collapsed="false">
      <c r="A104" s="50" t="n">
        <v>2</v>
      </c>
      <c r="B104" s="52" t="s">
        <v>90</v>
      </c>
      <c r="C104" s="13"/>
      <c r="D104" s="13"/>
      <c r="E104" s="13"/>
      <c r="F104" s="13"/>
      <c r="G104" s="13"/>
      <c r="H104" s="13"/>
      <c r="I104" s="13"/>
    </row>
    <row r="105" customFormat="false" ht="19.7" hidden="false" customHeight="false" outlineLevel="0" collapsed="false">
      <c r="A105" s="50" t="n">
        <v>3</v>
      </c>
      <c r="B105" s="52" t="s">
        <v>91</v>
      </c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</row>
    <row r="111" customFormat="false" ht="29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</row>
    <row r="112" customFormat="false" ht="88.5" hidden="false" customHeight="true" outlineLevel="0" collapsed="false">
      <c r="A112" s="53" t="s">
        <v>20</v>
      </c>
      <c r="B112" s="53"/>
      <c r="C112" s="53"/>
      <c r="D112" s="53"/>
      <c r="E112" s="53"/>
      <c r="F112" s="53"/>
      <c r="G112" s="53"/>
      <c r="H112" s="53"/>
      <c r="I112" s="53"/>
    </row>
    <row r="113" customFormat="false" ht="30" hidden="false" customHeight="true" outlineLevel="0" collapsed="false">
      <c r="A113" s="3"/>
      <c r="B113" s="54" t="s">
        <v>57</v>
      </c>
      <c r="C113" s="55" t="str">
        <f aca="false">C2</f>
        <v>Ampachak Vati</v>
      </c>
      <c r="D113" s="55"/>
      <c r="E113" s="55"/>
      <c r="F113" s="55"/>
      <c r="G113" s="55"/>
      <c r="H113" s="55"/>
      <c r="I113" s="55"/>
    </row>
    <row r="114" customFormat="false" ht="30" hidden="false" customHeight="true" outlineLevel="0" collapsed="false">
      <c r="A114" s="3"/>
      <c r="B114" s="54" t="s">
        <v>92</v>
      </c>
      <c r="C114" s="56" t="str">
        <f aca="false">C8</f>
        <v>T-AP-26/27-01</v>
      </c>
      <c r="D114" s="57"/>
      <c r="E114" s="58" t="s">
        <v>25</v>
      </c>
      <c r="F114" s="58"/>
      <c r="G114" s="58"/>
      <c r="H114" s="56" t="n">
        <f aca="false">C5</f>
        <v>20</v>
      </c>
      <c r="I114" s="57"/>
    </row>
    <row r="115" customFormat="false" ht="30" hidden="false" customHeight="true" outlineLevel="0" collapsed="false">
      <c r="A115" s="3"/>
      <c r="B115" s="59" t="s">
        <v>58</v>
      </c>
      <c r="C115" s="59"/>
      <c r="D115" s="59"/>
      <c r="E115" s="59" t="s">
        <v>59</v>
      </c>
      <c r="F115" s="59"/>
      <c r="G115" s="59"/>
      <c r="H115" s="59"/>
      <c r="I115" s="59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</row>
    <row r="117" customFormat="false" ht="35.25" hidden="false" customHeight="true" outlineLevel="0" collapsed="false">
      <c r="A117" s="3"/>
      <c r="B117" s="42" t="s">
        <v>93</v>
      </c>
      <c r="C117" s="42"/>
      <c r="D117" s="42"/>
      <c r="E117" s="42"/>
      <c r="F117" s="42"/>
      <c r="G117" s="42"/>
      <c r="H117" s="42"/>
      <c r="I117" s="42"/>
    </row>
    <row r="118" customFormat="false" ht="35.25" hidden="false" customHeight="true" outlineLevel="0" collapsed="false">
      <c r="A118" s="3"/>
      <c r="B118" s="59" t="s">
        <v>94</v>
      </c>
      <c r="C118" s="59"/>
      <c r="D118" s="59"/>
      <c r="E118" s="59"/>
      <c r="F118" s="59"/>
      <c r="G118" s="59"/>
      <c r="H118" s="59"/>
      <c r="I118" s="59"/>
    </row>
    <row r="119" customFormat="false" ht="35.25" hidden="false" customHeight="true" outlineLevel="0" collapsed="false">
      <c r="A119" s="60" t="n">
        <v>1</v>
      </c>
      <c r="B119" s="61" t="s">
        <v>95</v>
      </c>
      <c r="C119" s="61"/>
      <c r="D119" s="61"/>
      <c r="E119" s="61"/>
      <c r="F119" s="61"/>
      <c r="G119" s="61"/>
      <c r="H119" s="61"/>
      <c r="I119" s="61"/>
    </row>
    <row r="120" customFormat="false" ht="35.25" hidden="false" customHeight="true" outlineLevel="0" collapsed="false">
      <c r="A120" s="60" t="n">
        <v>2</v>
      </c>
      <c r="B120" s="61" t="s">
        <v>96</v>
      </c>
      <c r="C120" s="61"/>
      <c r="D120" s="61"/>
      <c r="E120" s="61"/>
      <c r="F120" s="61"/>
      <c r="G120" s="61"/>
      <c r="H120" s="61"/>
      <c r="I120" s="61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</row>
    <row r="122" customFormat="false" ht="48.75" hidden="false" customHeight="true" outlineLevel="0" collapsed="false">
      <c r="A122" s="3"/>
      <c r="B122" s="59" t="s">
        <v>97</v>
      </c>
      <c r="C122" s="59"/>
      <c r="D122" s="59"/>
      <c r="E122" s="59"/>
      <c r="F122" s="59"/>
      <c r="G122" s="59"/>
      <c r="H122" s="59"/>
      <c r="I122" s="59"/>
    </row>
    <row r="123" customFormat="false" ht="48.75" hidden="false" customHeight="true" outlineLevel="0" collapsed="false">
      <c r="A123" s="60" t="n">
        <v>1</v>
      </c>
      <c r="B123" s="61" t="s">
        <v>98</v>
      </c>
      <c r="C123" s="61"/>
      <c r="D123" s="61"/>
      <c r="E123" s="61"/>
      <c r="F123" s="61"/>
      <c r="G123" s="61"/>
      <c r="H123" s="61"/>
      <c r="I123" s="61"/>
    </row>
    <row r="124" customFormat="false" ht="48.75" hidden="false" customHeight="true" outlineLevel="0" collapsed="false">
      <c r="A124" s="60" t="n">
        <v>2</v>
      </c>
      <c r="B124" s="61" t="s">
        <v>99</v>
      </c>
      <c r="C124" s="61"/>
      <c r="D124" s="61"/>
      <c r="E124" s="61"/>
      <c r="F124" s="61"/>
      <c r="G124" s="61"/>
      <c r="H124" s="61"/>
      <c r="I124" s="61"/>
    </row>
  </sheetData>
  <mergeCells count="123">
    <mergeCell ref="A1:I1"/>
    <mergeCell ref="C2:I2"/>
    <mergeCell ref="C3:I3"/>
    <mergeCell ref="C4:D4"/>
    <mergeCell ref="E4:I4"/>
    <mergeCell ref="C5:D5"/>
    <mergeCell ref="F5:I5"/>
    <mergeCell ref="C6:I6"/>
    <mergeCell ref="C7:I7"/>
    <mergeCell ref="C8:I8"/>
    <mergeCell ref="C9:I9"/>
    <mergeCell ref="C10:I10"/>
    <mergeCell ref="D11:I11"/>
    <mergeCell ref="A12:I16"/>
    <mergeCell ref="B17:C17"/>
    <mergeCell ref="D17:F17"/>
    <mergeCell ref="G17:I17"/>
    <mergeCell ref="B18:C18"/>
    <mergeCell ref="D18:F18"/>
    <mergeCell ref="G18:I18"/>
    <mergeCell ref="A19:A23"/>
    <mergeCell ref="B19:C23"/>
    <mergeCell ref="D19:F23"/>
    <mergeCell ref="G19:I23"/>
    <mergeCell ref="A24:I33"/>
    <mergeCell ref="A34:I34"/>
    <mergeCell ref="C35:I35"/>
    <mergeCell ref="C36:I36"/>
    <mergeCell ref="B37:C37"/>
    <mergeCell ref="D37:F37"/>
    <mergeCell ref="B38:I38"/>
    <mergeCell ref="B39:I39"/>
    <mergeCell ref="B40:I40"/>
    <mergeCell ref="B41:I41"/>
    <mergeCell ref="C42:I42"/>
    <mergeCell ref="C43:I43"/>
    <mergeCell ref="B44:I44"/>
    <mergeCell ref="E45:G45"/>
    <mergeCell ref="H45:I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B64:E64"/>
    <mergeCell ref="F64:I64"/>
    <mergeCell ref="A65:I70"/>
    <mergeCell ref="A71:I71"/>
    <mergeCell ref="C72:I72"/>
    <mergeCell ref="C73:E73"/>
    <mergeCell ref="H73:I73"/>
    <mergeCell ref="B74:E74"/>
    <mergeCell ref="F74:I74"/>
    <mergeCell ref="B75:I75"/>
    <mergeCell ref="B76:C76"/>
    <mergeCell ref="D76:F76"/>
    <mergeCell ref="G76:I76"/>
    <mergeCell ref="B77:D77"/>
    <mergeCell ref="E77:I77"/>
    <mergeCell ref="C78:I78"/>
    <mergeCell ref="A79:A80"/>
    <mergeCell ref="B79:D80"/>
    <mergeCell ref="F79:G79"/>
    <mergeCell ref="H79:H80"/>
    <mergeCell ref="I79:I80"/>
    <mergeCell ref="I81:I95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A96:I96"/>
    <mergeCell ref="B97:C97"/>
    <mergeCell ref="D97:I97"/>
    <mergeCell ref="B98:C98"/>
    <mergeCell ref="D98:I98"/>
    <mergeCell ref="B99:C99"/>
    <mergeCell ref="D99:I99"/>
    <mergeCell ref="B100:C100"/>
    <mergeCell ref="D100:I100"/>
    <mergeCell ref="B101:C101"/>
    <mergeCell ref="D101:I101"/>
    <mergeCell ref="A102:I102"/>
    <mergeCell ref="C103:I103"/>
    <mergeCell ref="C104:I104"/>
    <mergeCell ref="C105:I105"/>
    <mergeCell ref="A106:I111"/>
    <mergeCell ref="A112:I112"/>
    <mergeCell ref="C113:I113"/>
    <mergeCell ref="E114:G114"/>
    <mergeCell ref="B115:D115"/>
    <mergeCell ref="E115:I115"/>
    <mergeCell ref="A116:I116"/>
    <mergeCell ref="B117:I117"/>
    <mergeCell ref="B118:I118"/>
    <mergeCell ref="B119:I119"/>
    <mergeCell ref="B120:I120"/>
    <mergeCell ref="A121:I121"/>
    <mergeCell ref="B122:I122"/>
    <mergeCell ref="B123:I123"/>
    <mergeCell ref="B124:I1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2026-06-14T04:36:26Z</dcterms:created>
  <dc:creator>DELL</dc:creator>
  <dc:description/>
  <dc:language>en-US</dc:language>
  <cp:lastModifiedBy/>
  <dcterms:modified xsi:type="dcterms:W3CDTF">2026-06-18T09:48:13Z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